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D:\Data Analyst Bootcamp\Microsoft Excel\Excel Dashboard 2\"/>
    </mc:Choice>
  </mc:AlternateContent>
  <xr:revisionPtr revIDLastSave="0" documentId="13_ncr:1_{AFAF59E6-7E6B-48AD-B676-7CD95F587DF9}" xr6:coauthVersionLast="47" xr6:coauthVersionMax="47" xr10:uidLastSave="{00000000-0000-0000-0000-000000000000}"/>
  <bookViews>
    <workbookView xWindow="-108" yWindow="-108" windowWidth="23256" windowHeight="12456" activeTab="4" xr2:uid="{00000000-000D-0000-FFFF-FFFF00000000}"/>
  </bookViews>
  <sheets>
    <sheet name="Pivot 1" sheetId="3" r:id="rId1"/>
    <sheet name="Pivot 2" sheetId="5" r:id="rId2"/>
    <sheet name="Pivot 3" sheetId="6" r:id="rId3"/>
    <sheet name="Pivot 4" sheetId="7" r:id="rId4"/>
    <sheet name="Dashboard" sheetId="8"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0" r:id="rId7"/>
    <pivotCache cacheId="6"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<sst xmlns="http://schemas.openxmlformats.org/spreadsheetml/2006/main" count="537" uniqueCount="53">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</sst>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_ ;_ * \-#,##0_ ;_ * &quot;-&quot;??_ ;_ @_ "/>
    <numFmt numFmtId="169" formatCode="0.000000"/>
  </numFmts>
  <fonts count="2" x14ac:knownFonts="1">
    <font>
      <sz val="11"/>
      <color theme="1"/>
      <name val="Calibri"/>
      <family val="2"/>
      <scheme val="minor"/>
    </font>
    <font>
      <b/>
      <i/>
      <sz val="48"/>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9" fontId="0" fillId="0" borderId="0" xfId="0" applyNumberFormat="1"/>
    <xf numFmtId="0" fontId="0" fillId="0" borderId="0" xfId="0" applyNumberFormat="1"/>
    <xf numFmtId="0" fontId="0" fillId="2" borderId="0" xfId="0" applyFill="1" applyAlignment="1">
      <alignment horizontal="center"/>
    </xf>
    <xf numFmtId="0" fontId="1" fillId="2" borderId="0" xfId="0" applyFont="1" applyFill="1" applyAlignment="1">
      <alignment horizontal="center"/>
    </xf>
    <xf numFmtId="0" fontId="0" fillId="3" borderId="0" xfId="0" applyFill="1"/>
  </cellXfs>
  <cellStyles count="1">
    <cellStyle name="Normal" xfId="0" builtinId="0"/>
  </cellStyles>
  <dxfs count="20">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9" formatCode="0.000000"/>
    </dxf>
    <dxf>
      <numFmt numFmtId="164" formatCode="_ * #,##0_ ;_ * \-#,##0_ ;_ * &quot;-&quot;??_ ;_ @_ "/>
    </dxf>
  </dxfs>
  <tableStyles count="1" defaultTableStyle="TableStyleMedium2" defaultPivotStyle="PivotStyleLight16">
    <tableStyle name="Invisible" pivot="0" table="0" count="0" xr9:uid="{6B0637D6-0878-489C-874E-DE89E9DB7CED}"/>
  </tableStyles>
  <colors>
    <mruColors>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a:t>
            </a:r>
            <a:r>
              <a:rPr lang="en-US" b="1" i="1" u="sng" baseline="0">
                <a:solidFill>
                  <a:sysClr val="windowText" lastClr="000000"/>
                </a:solidFill>
              </a:rPr>
              <a:t> Cost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lumMod val="50000"/>
              </a:schemeClr>
            </a:soli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DB67-4F93-B37F-E349D35D79D7}"/>
            </c:ext>
          </c:extLst>
        </c:ser>
        <c:dLbls>
          <c:showLegendKey val="0"/>
          <c:showVal val="0"/>
          <c:showCatName val="0"/>
          <c:showSerName val="0"/>
          <c:showPercent val="0"/>
          <c:showBubbleSize val="0"/>
        </c:dLbls>
        <c:gapWidth val="150"/>
        <c:shape val="box"/>
        <c:axId val="345822192"/>
        <c:axId val="317098096"/>
        <c:axId val="0"/>
      </c:bar3DChart>
      <c:catAx>
        <c:axId val="345822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17098096"/>
        <c:crosses val="autoZero"/>
        <c:auto val="1"/>
        <c:lblAlgn val="ctr"/>
        <c:lblOffset val="100"/>
        <c:noMultiLvlLbl val="0"/>
      </c:catAx>
      <c:valAx>
        <c:axId val="31709809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4582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a:t>
            </a:r>
            <a:r>
              <a:rPr lang="en-US" b="1" i="1" u="sng" baseline="0">
                <a:solidFill>
                  <a:sysClr val="windowText" lastClr="000000"/>
                </a:solidFill>
              </a:rPr>
              <a:t>e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3A60-4AAD-8E9B-0B93A0DDFC00}"/>
            </c:ext>
          </c:extLst>
        </c:ser>
        <c:dLbls>
          <c:showLegendKey val="0"/>
          <c:showVal val="1"/>
          <c:showCatName val="0"/>
          <c:showSerName val="0"/>
          <c:showPercent val="0"/>
          <c:showBubbleSize val="0"/>
        </c:dLbls>
        <c:gapWidth val="150"/>
        <c:shape val="box"/>
        <c:axId val="874857840"/>
        <c:axId val="874859280"/>
        <c:axId val="0"/>
      </c:bar3DChart>
      <c:catAx>
        <c:axId val="87485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74859280"/>
        <c:crosses val="autoZero"/>
        <c:auto val="1"/>
        <c:lblAlgn val="ctr"/>
        <c:lblOffset val="100"/>
        <c:noMultiLvlLbl val="0"/>
      </c:catAx>
      <c:valAx>
        <c:axId val="874859280"/>
        <c:scaling>
          <c:orientation val="minMax"/>
        </c:scaling>
        <c:delete val="1"/>
        <c:axPos val="b"/>
        <c:numFmt formatCode="General" sourceLinked="1"/>
        <c:majorTickMark val="none"/>
        <c:minorTickMark val="none"/>
        <c:tickLblPos val="nextTo"/>
        <c:crossAx val="87485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3!PivotTable1</c:name>
    <c:fmtId val="17"/>
  </c:pivotSource>
  <c:chart>
    <c:title>
      <c:tx>
        <c:rich>
          <a:bodyPr rot="0" spcFirstLastPara="1" vertOverflow="ellipsis" vert="horz" wrap="square" anchor="ctr" anchorCtr="1"/>
          <a:lstStyle/>
          <a:p>
            <a:pPr>
              <a:defRPr sz="1600" b="1" i="1" u="sng" strike="noStrike" kern="1200" spc="0" baseline="0">
                <a:solidFill>
                  <a:sysClr val="windowText" lastClr="000000"/>
                </a:solidFill>
                <a:latin typeface="+mn-lt"/>
                <a:ea typeface="+mn-ea"/>
                <a:cs typeface="+mn-cs"/>
              </a:defRPr>
            </a:pPr>
            <a:r>
              <a:rPr lang="en-US" sz="1600" b="1" i="1" u="sng">
                <a:solidFill>
                  <a:sysClr val="windowText" lastClr="000000"/>
                </a:solidFill>
              </a:rPr>
              <a:t>Total Units Produced</a:t>
            </a:r>
            <a:r>
              <a:rPr lang="en-US" sz="1600" b="1" i="1" u="sng" baseline="0">
                <a:solidFill>
                  <a:sysClr val="windowText" lastClr="000000"/>
                </a:solidFill>
              </a:rPr>
              <a:t> by Year/Month</a:t>
            </a:r>
            <a:endParaRPr lang="en-US" sz="1600"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1"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tx1"/>
            </a:solidFill>
          </a:ln>
          <a:effectLst/>
          <a:sp3d>
            <a:contourClr>
              <a:schemeClr val="tx1"/>
            </a:contourClr>
          </a:sp3d>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4">
                <a:lumMod val="60000"/>
                <a:lumOff val="40000"/>
              </a:schemeClr>
            </a:solidFill>
            <a:ln>
              <a:solidFill>
                <a:schemeClr val="tx1"/>
              </a:solidFill>
            </a:ln>
            <a:effectLst/>
            <a:sp3d>
              <a:contourClr>
                <a:schemeClr val="tx1"/>
              </a:contourClr>
            </a:sp3d>
          </c:spPr>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6E36-468B-A2AE-30D928B475C3}"/>
            </c:ext>
          </c:extLst>
        </c:ser>
        <c:dLbls>
          <c:showLegendKey val="0"/>
          <c:showVal val="1"/>
          <c:showCatName val="0"/>
          <c:showSerName val="0"/>
          <c:showPercent val="0"/>
          <c:showBubbleSize val="0"/>
        </c:dLbls>
        <c:axId val="753445440"/>
        <c:axId val="753433440"/>
        <c:axId val="501228016"/>
      </c:line3DChart>
      <c:catAx>
        <c:axId val="753445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753433440"/>
        <c:crosses val="autoZero"/>
        <c:auto val="1"/>
        <c:lblAlgn val="ctr"/>
        <c:lblOffset val="100"/>
        <c:noMultiLvlLbl val="0"/>
      </c:catAx>
      <c:valAx>
        <c:axId val="753433440"/>
        <c:scaling>
          <c:orientation val="minMax"/>
        </c:scaling>
        <c:delete val="1"/>
        <c:axPos val="l"/>
        <c:numFmt formatCode="General" sourceLinked="1"/>
        <c:majorTickMark val="none"/>
        <c:minorTickMark val="none"/>
        <c:tickLblPos val="nextTo"/>
        <c:crossAx val="753445440"/>
        <c:crosses val="autoZero"/>
        <c:crossBetween val="between"/>
      </c:valAx>
      <c:serAx>
        <c:axId val="50122801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33440"/>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4!PivotTable1</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1" u="sng">
                <a:solidFill>
                  <a:sysClr val="windowText" lastClr="000000"/>
                </a:solidFill>
              </a:rPr>
              <a:t>Average Production</a:t>
            </a:r>
            <a:r>
              <a:rPr lang="en-US" sz="1600" b="1" i="1" u="sng" baseline="0">
                <a:solidFill>
                  <a:sysClr val="windowText" lastClr="000000"/>
                </a:solidFill>
              </a:rPr>
              <a:t> Cost per Unit by Product Type</a:t>
            </a:r>
            <a:endParaRPr lang="en-US" sz="1600"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F6D2-4732-B030-DAD85B14DF0A}"/>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4-F6D2-4732-B030-DAD85B14DF0A}"/>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F6D2-4732-B030-DAD85B14DF0A}"/>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2-F6D2-4732-B030-DAD85B14DF0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0.000000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F6D2-4732-B030-DAD85B14DF0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a:t>
            </a:r>
            <a:r>
              <a:rPr lang="en-US" b="1" i="1" u="sng" baseline="0">
                <a:solidFill>
                  <a:sysClr val="windowText" lastClr="000000"/>
                </a:solidFill>
              </a:rPr>
              <a:t> Cost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lumMod val="50000"/>
              </a:schemeClr>
            </a:soli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B3FF-4DB2-8D6E-3809C73E4997}"/>
            </c:ext>
          </c:extLst>
        </c:ser>
        <c:dLbls>
          <c:showLegendKey val="0"/>
          <c:showVal val="0"/>
          <c:showCatName val="0"/>
          <c:showSerName val="0"/>
          <c:showPercent val="0"/>
          <c:showBubbleSize val="0"/>
        </c:dLbls>
        <c:gapWidth val="150"/>
        <c:shape val="box"/>
        <c:axId val="345822192"/>
        <c:axId val="317098096"/>
        <c:axId val="0"/>
      </c:bar3DChart>
      <c:catAx>
        <c:axId val="3458221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17098096"/>
        <c:crosses val="autoZero"/>
        <c:auto val="1"/>
        <c:lblAlgn val="ctr"/>
        <c:lblOffset val="100"/>
        <c:noMultiLvlLbl val="0"/>
      </c:catAx>
      <c:valAx>
        <c:axId val="31709809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4582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a:t>
            </a:r>
            <a:r>
              <a:rPr lang="en-US" b="1" i="1" u="sng" baseline="0">
                <a:solidFill>
                  <a:sysClr val="windowText" lastClr="000000"/>
                </a:solidFill>
              </a:rPr>
              <a:t>e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2">
                    <a:lumMod val="60000"/>
                    <a:lumOff val="40000"/>
                    <a:shade val="30000"/>
                    <a:satMod val="115000"/>
                  </a:schemeClr>
                </a:gs>
                <a:gs pos="50000">
                  <a:schemeClr val="accent2">
                    <a:lumMod val="60000"/>
                    <a:lumOff val="40000"/>
                    <a:shade val="67500"/>
                    <a:satMod val="115000"/>
                  </a:schemeClr>
                </a:gs>
                <a:gs pos="100000">
                  <a:schemeClr val="accent2">
                    <a:lumMod val="60000"/>
                    <a:lumOff val="40000"/>
                    <a:shade val="100000"/>
                    <a:satMod val="115000"/>
                  </a:schemeClr>
                </a:gs>
              </a:gsLst>
              <a:lin ang="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D592-4E8A-9E63-83365C8143B2}"/>
            </c:ext>
          </c:extLst>
        </c:ser>
        <c:dLbls>
          <c:showLegendKey val="0"/>
          <c:showVal val="1"/>
          <c:showCatName val="0"/>
          <c:showSerName val="0"/>
          <c:showPercent val="0"/>
          <c:showBubbleSize val="0"/>
        </c:dLbls>
        <c:gapWidth val="150"/>
        <c:shape val="box"/>
        <c:axId val="874857840"/>
        <c:axId val="874859280"/>
        <c:axId val="0"/>
      </c:bar3DChart>
      <c:catAx>
        <c:axId val="874857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74859280"/>
        <c:crosses val="autoZero"/>
        <c:auto val="1"/>
        <c:lblAlgn val="ctr"/>
        <c:lblOffset val="100"/>
        <c:noMultiLvlLbl val="0"/>
      </c:catAx>
      <c:valAx>
        <c:axId val="874859280"/>
        <c:scaling>
          <c:orientation val="minMax"/>
        </c:scaling>
        <c:delete val="1"/>
        <c:axPos val="b"/>
        <c:numFmt formatCode="General" sourceLinked="1"/>
        <c:majorTickMark val="none"/>
        <c:minorTickMark val="none"/>
        <c:tickLblPos val="nextTo"/>
        <c:crossAx val="874857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3!PivotTable1</c:name>
    <c:fmtId val="19"/>
  </c:pivotSource>
  <c:chart>
    <c:title>
      <c:tx>
        <c:rich>
          <a:bodyPr rot="0" spcFirstLastPara="1" vertOverflow="ellipsis" vert="horz" wrap="square" anchor="ctr" anchorCtr="1"/>
          <a:lstStyle/>
          <a:p>
            <a:pPr>
              <a:defRPr sz="1600" b="1" i="1" u="sng" strike="noStrike" kern="1200" spc="0" baseline="0">
                <a:solidFill>
                  <a:sysClr val="windowText" lastClr="000000"/>
                </a:solidFill>
                <a:latin typeface="+mn-lt"/>
                <a:ea typeface="+mn-ea"/>
                <a:cs typeface="+mn-cs"/>
              </a:defRPr>
            </a:pPr>
            <a:r>
              <a:rPr lang="en-US" sz="1600" b="1" i="1" u="sng">
                <a:solidFill>
                  <a:sysClr val="windowText" lastClr="000000"/>
                </a:solidFill>
              </a:rPr>
              <a:t>Total Units Produced</a:t>
            </a:r>
            <a:r>
              <a:rPr lang="en-US" sz="1600" b="1" i="1" u="sng" baseline="0">
                <a:solidFill>
                  <a:sysClr val="windowText" lastClr="000000"/>
                </a:solidFill>
              </a:rPr>
              <a:t> by Year/Month</a:t>
            </a:r>
            <a:endParaRPr lang="en-US" sz="1600"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1"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tx1"/>
            </a:solidFill>
          </a:ln>
          <a:effectLst/>
          <a:sp3d>
            <a:contourClr>
              <a:schemeClr val="tx1"/>
            </a:contourClr>
          </a:sp3d>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solidFill>
              <a:schemeClr val="tx1"/>
            </a:solidFill>
          </a:ln>
          <a:effectLst/>
          <a:sp3d>
            <a:contourClr>
              <a:schemeClr val="tx1"/>
            </a:contourClr>
          </a:sp3d>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tx1"/>
            </a:solidFill>
          </a:ln>
          <a:effectLst/>
          <a:sp3d>
            <a:contourClr>
              <a:schemeClr val="tx1"/>
            </a:contourClr>
          </a:sp3d>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4">
                <a:lumMod val="60000"/>
                <a:lumOff val="40000"/>
              </a:schemeClr>
            </a:solidFill>
            <a:ln>
              <a:solidFill>
                <a:schemeClr val="tx1"/>
              </a:solidFill>
            </a:ln>
            <a:effectLst/>
            <a:sp3d>
              <a:contourClr>
                <a:schemeClr val="tx1"/>
              </a:contourClr>
            </a:sp3d>
          </c:spPr>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3A9A-46F8-8C78-766A23ED6572}"/>
            </c:ext>
          </c:extLst>
        </c:ser>
        <c:dLbls>
          <c:showLegendKey val="0"/>
          <c:showVal val="1"/>
          <c:showCatName val="0"/>
          <c:showSerName val="0"/>
          <c:showPercent val="0"/>
          <c:showBubbleSize val="0"/>
        </c:dLbls>
        <c:axId val="753445440"/>
        <c:axId val="753433440"/>
        <c:axId val="501228016"/>
      </c:line3DChart>
      <c:catAx>
        <c:axId val="753445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753433440"/>
        <c:crosses val="autoZero"/>
        <c:auto val="1"/>
        <c:lblAlgn val="ctr"/>
        <c:lblOffset val="100"/>
        <c:noMultiLvlLbl val="0"/>
      </c:catAx>
      <c:valAx>
        <c:axId val="753433440"/>
        <c:scaling>
          <c:orientation val="minMax"/>
        </c:scaling>
        <c:delete val="1"/>
        <c:axPos val="l"/>
        <c:numFmt formatCode="General" sourceLinked="1"/>
        <c:majorTickMark val="none"/>
        <c:minorTickMark val="none"/>
        <c:tickLblPos val="nextTo"/>
        <c:crossAx val="753445440"/>
        <c:crosses val="autoZero"/>
        <c:crossBetween val="between"/>
      </c:valAx>
      <c:serAx>
        <c:axId val="50122801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33440"/>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 2.xlsx]Pivot 4!PivotTable1</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1" u="sng">
                <a:solidFill>
                  <a:sysClr val="windowText" lastClr="000000"/>
                </a:solidFill>
              </a:rPr>
              <a:t>Average Production</a:t>
            </a:r>
            <a:r>
              <a:rPr lang="en-US" sz="1600" b="1" i="1" u="sng" baseline="0">
                <a:solidFill>
                  <a:sysClr val="windowText" lastClr="000000"/>
                </a:solidFill>
              </a:rPr>
              <a:t> Cost per Unit by Product Type</a:t>
            </a:r>
            <a:endParaRPr lang="en-US" sz="1600"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CCCC"/>
          </a:solidFill>
          <a:ln w="25400">
            <a:solidFill>
              <a:schemeClr val="lt1"/>
            </a:solidFill>
          </a:ln>
          <a:effectLst/>
          <a:sp3d contourW="25400">
            <a:contourClr>
              <a:schemeClr val="lt1"/>
            </a:contourClr>
          </a:sp3d>
        </c:spPr>
      </c:pivotFmt>
      <c:pivotFmt>
        <c:idx val="7"/>
        <c:spPr>
          <a:solidFill>
            <a:srgbClr val="CCFFCC"/>
          </a:solidFill>
          <a:ln w="25400">
            <a:solidFill>
              <a:schemeClr val="lt1"/>
            </a:solidFill>
          </a:ln>
          <a:effectLst/>
          <a:sp3d contourW="25400">
            <a:contourClr>
              <a:schemeClr val="lt1"/>
            </a:contourClr>
          </a:sp3d>
        </c:spPr>
      </c:pivotFmt>
      <c:pivotFmt>
        <c:idx val="8"/>
        <c:spPr>
          <a:solidFill>
            <a:srgbClr val="FFCC99"/>
          </a:solidFill>
          <a:ln w="25400">
            <a:solidFill>
              <a:schemeClr val="lt1"/>
            </a:solidFill>
          </a:ln>
          <a:effectLst/>
          <a:sp3d contourW="25400">
            <a:contourClr>
              <a:schemeClr val="lt1"/>
            </a:contourClr>
          </a:sp3d>
        </c:spPr>
      </c:pivotFmt>
      <c:pivotFmt>
        <c:idx val="9"/>
        <c:spPr>
          <a:solidFill>
            <a:srgbClr val="CCCCFF"/>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FCCCC"/>
          </a:solidFill>
          <a:ln w="25400">
            <a:solidFill>
              <a:schemeClr val="lt1"/>
            </a:solidFill>
          </a:ln>
          <a:effectLst/>
          <a:sp3d contourW="25400">
            <a:contourClr>
              <a:schemeClr val="lt1"/>
            </a:contourClr>
          </a:sp3d>
        </c:spPr>
      </c:pivotFmt>
      <c:pivotFmt>
        <c:idx val="12"/>
        <c:spPr>
          <a:solidFill>
            <a:srgbClr val="CCFFCC"/>
          </a:solidFill>
          <a:ln w="25400">
            <a:solidFill>
              <a:schemeClr val="lt1"/>
            </a:solidFill>
          </a:ln>
          <a:effectLst/>
          <a:sp3d contourW="25400">
            <a:contourClr>
              <a:schemeClr val="lt1"/>
            </a:contourClr>
          </a:sp3d>
        </c:spPr>
      </c:pivotFmt>
      <c:pivotFmt>
        <c:idx val="13"/>
        <c:spPr>
          <a:solidFill>
            <a:srgbClr val="FFCC99"/>
          </a:solidFill>
          <a:ln w="25400">
            <a:solidFill>
              <a:schemeClr val="lt1"/>
            </a:solidFill>
          </a:ln>
          <a:effectLst/>
          <a:sp3d contourW="25400">
            <a:contourClr>
              <a:schemeClr val="lt1"/>
            </a:contourClr>
          </a:sp3d>
        </c:spPr>
      </c:pivotFmt>
      <c:pivotFmt>
        <c:idx val="14"/>
        <c:spPr>
          <a:solidFill>
            <a:srgbClr val="CCCC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1-3F18-4B8B-AA40-0C40E4A86567}"/>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3F18-4B8B-AA40-0C40E4A86567}"/>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3F18-4B8B-AA40-0C40E4A86567}"/>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7-3F18-4B8B-AA40-0C40E4A8656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0.000000</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3F18-4B8B-AA40-0C40E4A86567}"/>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22860</xdr:colOff>
      <xdr:row>1</xdr:row>
      <xdr:rowOff>179070</xdr:rowOff>
    </xdr:from>
    <xdr:to>
      <xdr:col>13</xdr:col>
      <xdr:colOff>236220</xdr:colOff>
      <xdr:row>22</xdr:row>
      <xdr:rowOff>175260</xdr:rowOff>
    </xdr:to>
    <xdr:graphicFrame macro="">
      <xdr:nvGraphicFramePr>
        <xdr:cNvPr id="2" name="Chart 1">
          <a:extLst>
            <a:ext uri="{FF2B5EF4-FFF2-40B4-BE49-F238E27FC236}">
              <a16:creationId xmlns:a16="http://schemas.microsoft.com/office/drawing/2014/main" id="{B6139023-2D6A-4E5D-6DE6-63335AE63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2</xdr:row>
      <xdr:rowOff>11430</xdr:rowOff>
    </xdr:from>
    <xdr:to>
      <xdr:col>13</xdr:col>
      <xdr:colOff>579120</xdr:colOff>
      <xdr:row>22</xdr:row>
      <xdr:rowOff>175260</xdr:rowOff>
    </xdr:to>
    <xdr:graphicFrame macro="">
      <xdr:nvGraphicFramePr>
        <xdr:cNvPr id="2" name="Chart 1">
          <a:extLst>
            <a:ext uri="{FF2B5EF4-FFF2-40B4-BE49-F238E27FC236}">
              <a16:creationId xmlns:a16="http://schemas.microsoft.com/office/drawing/2014/main" id="{8CF7C567-3D1F-DB30-2101-AA97618A1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15</xdr:col>
      <xdr:colOff>30480</xdr:colOff>
      <xdr:row>16</xdr:row>
      <xdr:rowOff>171450</xdr:rowOff>
    </xdr:to>
    <xdr:graphicFrame macro="">
      <xdr:nvGraphicFramePr>
        <xdr:cNvPr id="3" name="Chart 2">
          <a:extLst>
            <a:ext uri="{FF2B5EF4-FFF2-40B4-BE49-F238E27FC236}">
              <a16:creationId xmlns:a16="http://schemas.microsoft.com/office/drawing/2014/main" id="{1E5AF02A-5DE8-FEDD-21E3-199FC9394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601980</xdr:colOff>
      <xdr:row>1</xdr:row>
      <xdr:rowOff>179070</xdr:rowOff>
    </xdr:from>
    <xdr:to>
      <xdr:col>12</xdr:col>
      <xdr:colOff>601980</xdr:colOff>
      <xdr:row>20</xdr:row>
      <xdr:rowOff>15240</xdr:rowOff>
    </xdr:to>
    <xdr:graphicFrame macro="">
      <xdr:nvGraphicFramePr>
        <xdr:cNvPr id="2" name="Chart 1">
          <a:extLst>
            <a:ext uri="{FF2B5EF4-FFF2-40B4-BE49-F238E27FC236}">
              <a16:creationId xmlns:a16="http://schemas.microsoft.com/office/drawing/2014/main" id="{9534A779-8C33-50A8-D156-E85D733B6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16</xdr:row>
      <xdr:rowOff>0</xdr:rowOff>
    </xdr:from>
    <xdr:to>
      <xdr:col>11</xdr:col>
      <xdr:colOff>213360</xdr:colOff>
      <xdr:row>36</xdr:row>
      <xdr:rowOff>179070</xdr:rowOff>
    </xdr:to>
    <xdr:graphicFrame macro="">
      <xdr:nvGraphicFramePr>
        <xdr:cNvPr id="2" name="Chart 1">
          <a:extLst>
            <a:ext uri="{FF2B5EF4-FFF2-40B4-BE49-F238E27FC236}">
              <a16:creationId xmlns:a16="http://schemas.microsoft.com/office/drawing/2014/main" id="{9570B79D-6AFC-4B10-AA33-09C5AA0E7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10886</xdr:colOff>
      <xdr:row>16</xdr:row>
      <xdr:rowOff>21771</xdr:rowOff>
    </xdr:from>
    <xdr:to>
      <xdr:col>22</xdr:col>
      <xdr:colOff>597626</xdr:colOff>
      <xdr:row>37</xdr:row>
      <xdr:rowOff>11430</xdr:rowOff>
    </xdr:to>
    <xdr:graphicFrame macro="">
      <xdr:nvGraphicFramePr>
        <xdr:cNvPr id="3" name="Chart 2">
          <a:extLst>
            <a:ext uri="{FF2B5EF4-FFF2-40B4-BE49-F238E27FC236}">
              <a16:creationId xmlns:a16="http://schemas.microsoft.com/office/drawing/2014/main" id="{38C56A96-0B1C-49A1-B75D-9942D186F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39</xdr:row>
      <xdr:rowOff>185056</xdr:rowOff>
    </xdr:from>
    <xdr:to>
      <xdr:col>11</xdr:col>
      <xdr:colOff>185057</xdr:colOff>
      <xdr:row>57</xdr:row>
      <xdr:rowOff>163284</xdr:rowOff>
    </xdr:to>
    <xdr:graphicFrame macro="">
      <xdr:nvGraphicFramePr>
        <xdr:cNvPr id="4" name="Chart 3">
          <a:extLst>
            <a:ext uri="{FF2B5EF4-FFF2-40B4-BE49-F238E27FC236}">
              <a16:creationId xmlns:a16="http://schemas.microsoft.com/office/drawing/2014/main" id="{1F4C33EE-9407-48A1-B00D-7F4C8CA01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40</xdr:row>
      <xdr:rowOff>0</xdr:rowOff>
    </xdr:from>
    <xdr:to>
      <xdr:col>23</xdr:col>
      <xdr:colOff>0</xdr:colOff>
      <xdr:row>57</xdr:row>
      <xdr:rowOff>164918</xdr:rowOff>
    </xdr:to>
    <xdr:graphicFrame macro="">
      <xdr:nvGraphicFramePr>
        <xdr:cNvPr id="5" name="Chart 4">
          <a:extLst>
            <a:ext uri="{FF2B5EF4-FFF2-40B4-BE49-F238E27FC236}">
              <a16:creationId xmlns:a16="http://schemas.microsoft.com/office/drawing/2014/main" id="{FBDC4ADD-3DDC-4B41-8783-06BDD0AD0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605245</xdr:colOff>
      <xdr:row>5</xdr:row>
      <xdr:rowOff>48985</xdr:rowOff>
    </xdr:from>
    <xdr:to>
      <xdr:col>3</xdr:col>
      <xdr:colOff>605245</xdr:colOff>
      <xdr:row>14</xdr:row>
      <xdr:rowOff>185056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A99B605-4B36-9C0B-E01E-0534AF78E6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5245" y="974271"/>
              <a:ext cx="1828800" cy="1801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366849</xdr:colOff>
      <xdr:row>5</xdr:row>
      <xdr:rowOff>60961</xdr:rowOff>
    </xdr:from>
    <xdr:to>
      <xdr:col>7</xdr:col>
      <xdr:colOff>366849</xdr:colOff>
      <xdr:row>15</xdr:row>
      <xdr:rowOff>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C092BCCC-3149-B073-6BA6-E4A84B9E287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05249" y="986247"/>
              <a:ext cx="1828800" cy="17896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63136</xdr:colOff>
      <xdr:row>5</xdr:row>
      <xdr:rowOff>51163</xdr:rowOff>
    </xdr:from>
    <xdr:to>
      <xdr:col>11</xdr:col>
      <xdr:colOff>63136</xdr:colOff>
      <xdr:row>15</xdr:row>
      <xdr:rowOff>32657</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7153A560-D551-D632-6122-BC14C8B85B59}"/>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4939936" y="976449"/>
              <a:ext cx="1828800" cy="1832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358139</xdr:colOff>
      <xdr:row>5</xdr:row>
      <xdr:rowOff>52252</xdr:rowOff>
    </xdr:from>
    <xdr:to>
      <xdr:col>15</xdr:col>
      <xdr:colOff>576942</xdr:colOff>
      <xdr:row>15</xdr:row>
      <xdr:rowOff>32658</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853B8BB9-A1CB-9777-9154-6E2D2890ABC6}"/>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7063739" y="977538"/>
              <a:ext cx="2657203" cy="1830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et Karmakar" refreshedDate="46001.700501041669" createdVersion="8" refreshedVersion="8" minRefreshableVersion="3" recordCount="121" xr:uid="{E1A3B0A5-0798-48BB-AA15-F6AE54E62929}">
  <cacheSource type="worksheet">
    <worksheetSource ref="A1:K1048576" sheet="Production Dataset"/>
  </cacheSource>
  <cacheFields count="11">
    <cacheField name="ProductionID" numFmtId="0">
      <sharedItems containsString="0" containsBlank="1" containsNumber="1" containsInteger="1" minValue="1" maxValue="120"/>
    </cacheField>
    <cacheField name="ProductionDate" numFmtId="0">
      <sharedItems containsNonDate="0" containsDate="1" containsString="0" containsBlank="1" minDate="2023-09-22T00:00:00" maxDate="2024-09-15T00:00:00"/>
    </cacheField>
    <cacheField name="Region" numFmtId="0">
      <sharedItems containsBlank="1"/>
    </cacheField>
    <cacheField name="Manager" numFmtId="0">
      <sharedItems containsBlank="1"/>
    </cacheField>
    <cacheField name="ProductType" numFmtId="0">
      <sharedItems containsBlank="1" count="5">
        <s v="Automobiles"/>
        <s v="Furniture"/>
        <s v="Machinery"/>
        <s v="Electronics"/>
        <m/>
      </sharedItems>
    </cacheField>
    <cacheField name="UnitsProduced" numFmtId="0">
      <sharedItems containsString="0" containsBlank="1" containsNumber="1" containsInteger="1" minValue="32" maxValue="666"/>
    </cacheField>
    <cacheField name="TotalCost" numFmtId="0">
      <sharedItems containsString="0" containsBlank="1" containsNumber="1" containsInteger="1" minValue="679" maxValue="76076"/>
    </cacheField>
    <cacheField name="Gender" numFmtId="0">
      <sharedItems containsBlank="1"/>
    </cacheField>
    <cacheField name="True Age" numFmtId="0">
      <sharedItems containsString="0" containsBlank="1" containsNumber="1" containsInteger="1" minValue="25" maxValue="57"/>
    </cacheField>
    <cacheField name="Age Groups" numFmtId="0">
      <sharedItems containsBlank="1"/>
    </cacheField>
    <cacheField name="Production Cost Per Unit" numFmtId="0">
      <sharedItems containsString="0" containsBlank="1" containsNumber="1" minValue="1.3287671232876712" maxValue="1115.450980392156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et Karmakar" refreshedDate="46002.658670486111" createdVersion="8" refreshedVersion="8" minRefreshableVersion="3" recordCount="120" xr:uid="{145C2A0D-055B-4C5B-B33F-BC1240041221}">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2010456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n v="1"/>
    <d v="2024-03-29T00:00:00"/>
    <s v="South"/>
    <s v="John Doe"/>
    <x v="0"/>
    <n v="412"/>
    <n v="22288"/>
    <s v="Female"/>
    <n v="25"/>
    <s v="A1"/>
    <n v="54.097087378640779"/>
  </r>
  <r>
    <n v="2"/>
    <d v="2024-05-08T00:00:00"/>
    <s v="West"/>
    <s v="Laura Black"/>
    <x v="1"/>
    <n v="430"/>
    <n v="66500"/>
    <s v="Female"/>
    <n v="52"/>
    <s v="A3"/>
    <n v="154.65116279069767"/>
  </r>
  <r>
    <n v="3"/>
    <d v="2024-07-31T00:00:00"/>
    <s v="North"/>
    <s v="Sarah Lee"/>
    <x v="2"/>
    <n v="478"/>
    <n v="76076"/>
    <s v="Male"/>
    <n v="36"/>
    <s v="A2"/>
    <n v="159.15481171548117"/>
  </r>
  <r>
    <n v="4"/>
    <d v="2023-10-15T00:00:00"/>
    <s v="West"/>
    <s v="Mike Brown"/>
    <x v="2"/>
    <n v="459"/>
    <n v="17069"/>
    <s v="Unknown"/>
    <n v="57"/>
    <s v="A3"/>
    <n v="37.187363834422655"/>
  </r>
  <r>
    <n v="5"/>
    <d v="2024-06-06T00:00:00"/>
    <s v="South"/>
    <s v="Jane Smith"/>
    <x v="2"/>
    <n v="178"/>
    <n v="41349"/>
    <s v="Male"/>
    <n v="26"/>
    <s v="A1"/>
    <n v="232.29775280898878"/>
  </r>
  <r>
    <n v="6"/>
    <d v="2024-02-28T00:00:00"/>
    <s v="West"/>
    <s v="Jane Smith"/>
    <x v="2"/>
    <n v="401"/>
    <n v="19691"/>
    <s v="Male"/>
    <n v="26"/>
    <s v="A1"/>
    <n v="49.104738154613464"/>
  </r>
  <r>
    <n v="7"/>
    <d v="2024-06-29T00:00:00"/>
    <s v="West"/>
    <s v="Andrew Blue"/>
    <x v="2"/>
    <n v="68"/>
    <n v="11696"/>
    <s v="Male"/>
    <n v="28"/>
    <s v="A1"/>
    <n v="172"/>
  </r>
  <r>
    <n v="8"/>
    <d v="2024-01-08T00:00:00"/>
    <s v="West"/>
    <s v="David White"/>
    <x v="3"/>
    <n v="447"/>
    <n v="52269"/>
    <s v="Male"/>
    <n v="28"/>
    <s v="A1"/>
    <n v="116.93288590604027"/>
  </r>
  <r>
    <n v="9"/>
    <d v="2023-10-18T00:00:00"/>
    <s v="West"/>
    <s v="Nancy Grey"/>
    <x v="3"/>
    <n v="55"/>
    <n v="25893"/>
    <s v="Male"/>
    <n v="42"/>
    <s v="A2"/>
    <n v="470.78181818181821"/>
  </r>
  <r>
    <n v="10"/>
    <d v="2024-08-04T00:00:00"/>
    <s v="West"/>
    <s v="Nancy Grey"/>
    <x v="0"/>
    <n v="396"/>
    <n v="38480"/>
    <s v="Female"/>
    <n v="42"/>
    <s v="A2"/>
    <n v="97.171717171717177"/>
  </r>
  <r>
    <n v="11"/>
    <d v="2024-02-13T00:00:00"/>
    <s v="West"/>
    <s v="Emily Davis"/>
    <x v="2"/>
    <n v="494"/>
    <n v="46767"/>
    <s v="Female"/>
    <n v="25"/>
    <s v="A1"/>
    <n v="94.670040485829958"/>
  </r>
  <r>
    <n v="12"/>
    <d v="2024-04-28T00:00:00"/>
    <s v="West"/>
    <s v="Emily Davis"/>
    <x v="0"/>
    <n v="462"/>
    <n v="26145"/>
    <s v="Unknown"/>
    <n v="25"/>
    <s v="A1"/>
    <n v="56.590909090909093"/>
  </r>
  <r>
    <n v="13"/>
    <d v="2024-06-29T00:00:00"/>
    <s v="North"/>
    <s v="John Doe"/>
    <x v="3"/>
    <n v="435"/>
    <n v="64090"/>
    <s v="Female"/>
    <n v="25"/>
    <s v="A1"/>
    <n v="147.33333333333334"/>
  </r>
  <r>
    <n v="14"/>
    <d v="2024-06-22T00:00:00"/>
    <s v="South"/>
    <s v="Jane Smith"/>
    <x v="0"/>
    <n v="332"/>
    <n v="679"/>
    <s v="Female"/>
    <n v="26"/>
    <s v="A1"/>
    <n v="2.0451807228915664"/>
  </r>
  <r>
    <n v="15"/>
    <d v="2024-04-16T00:00:00"/>
    <s v="North"/>
    <s v="Nancy Grey"/>
    <x v="0"/>
    <n v="383"/>
    <n v="39008"/>
    <s v="Unknown"/>
    <n v="42"/>
    <s v="A2"/>
    <n v="101.8485639686684"/>
  </r>
  <r>
    <n v="16"/>
    <d v="2024-01-27T00:00:00"/>
    <s v="North"/>
    <s v="Jane Smith"/>
    <x v="1"/>
    <n v="193"/>
    <n v="18796"/>
    <s v="Male"/>
    <n v="26"/>
    <s v="A1"/>
    <n v="97.388601036269435"/>
  </r>
  <r>
    <n v="17"/>
    <d v="2023-10-16T00:00:00"/>
    <s v="West"/>
    <s v="Nancy Grey"/>
    <x v="2"/>
    <n v="240"/>
    <n v="65052"/>
    <s v="Female"/>
    <n v="42"/>
    <s v="A2"/>
    <n v="271.05"/>
  </r>
  <r>
    <n v="18"/>
    <d v="2024-03-30T00:00:00"/>
    <s v="West"/>
    <s v="Chris Green"/>
    <x v="0"/>
    <n v="363"/>
    <n v="38232"/>
    <s v="Female"/>
    <n v="49"/>
    <s v="A3"/>
    <n v="105.32231404958678"/>
  </r>
  <r>
    <n v="19"/>
    <d v="2024-06-26T00:00:00"/>
    <s v="West"/>
    <s v="Chris Green"/>
    <x v="0"/>
    <n v="443"/>
    <n v="50652"/>
    <s v="Male"/>
    <n v="49"/>
    <s v="A3"/>
    <n v="114.33860045146727"/>
  </r>
  <r>
    <n v="20"/>
    <d v="2023-11-24T00:00:00"/>
    <s v="West"/>
    <s v="Nancy Grey"/>
    <x v="3"/>
    <n v="331"/>
    <n v="27140"/>
    <s v="Male"/>
    <n v="42"/>
    <s v="A2"/>
    <n v="81.993957703927492"/>
  </r>
  <r>
    <n v="21"/>
    <d v="2024-01-13T00:00:00"/>
    <s v="South"/>
    <s v="Nancy Grey"/>
    <x v="2"/>
    <n v="250"/>
    <n v="11385"/>
    <s v="Male"/>
    <n v="42"/>
    <s v="A2"/>
    <n v="45.54"/>
  </r>
  <r>
    <n v="22"/>
    <d v="2024-01-03T00:00:00"/>
    <s v="West"/>
    <s v="Chris Green"/>
    <x v="2"/>
    <n v="180"/>
    <n v="33684"/>
    <s v="Female"/>
    <n v="49"/>
    <s v="A3"/>
    <n v="187.13333333333333"/>
  </r>
  <r>
    <n v="23"/>
    <d v="2024-08-16T00:00:00"/>
    <s v="North"/>
    <s v="Andrew Blue"/>
    <x v="0"/>
    <n v="90"/>
    <n v="42328"/>
    <s v="Female"/>
    <n v="28"/>
    <s v="A1"/>
    <n v="470.31111111111113"/>
  </r>
  <r>
    <n v="24"/>
    <d v="2024-01-05T00:00:00"/>
    <s v="South"/>
    <s v="Mike Brown"/>
    <x v="2"/>
    <n v="458"/>
    <n v="42873"/>
    <s v="Female"/>
    <n v="57"/>
    <s v="A3"/>
    <n v="93.609170305676855"/>
  </r>
  <r>
    <n v="25"/>
    <d v="2023-11-05T00:00:00"/>
    <s v="West"/>
    <s v="Jane Smith"/>
    <x v="0"/>
    <n v="439"/>
    <n v="31392"/>
    <s v="Male"/>
    <n v="26"/>
    <s v="A1"/>
    <n v="71.50797266514806"/>
  </r>
  <r>
    <n v="26"/>
    <d v="2024-08-26T00:00:00"/>
    <s v="West"/>
    <s v="Nancy Grey"/>
    <x v="0"/>
    <n v="406"/>
    <n v="47880"/>
    <s v="Male"/>
    <n v="42"/>
    <s v="A2"/>
    <n v="117.93103448275862"/>
  </r>
  <r>
    <n v="27"/>
    <d v="2024-08-07T00:00:00"/>
    <s v="West"/>
    <s v="Nancy Grey"/>
    <x v="3"/>
    <n v="422"/>
    <n v="13490"/>
    <s v="Female"/>
    <n v="42"/>
    <s v="A2"/>
    <n v="31.966824644549764"/>
  </r>
  <r>
    <n v="28"/>
    <d v="2023-12-26T00:00:00"/>
    <s v="West"/>
    <s v="Mike Brown"/>
    <x v="0"/>
    <n v="444"/>
    <n v="7272"/>
    <s v="Male"/>
    <n v="57"/>
    <s v="A3"/>
    <n v="16.378378378378379"/>
  </r>
  <r>
    <n v="29"/>
    <d v="2024-02-17T00:00:00"/>
    <s v="West"/>
    <s v="Nancy Grey"/>
    <x v="3"/>
    <n v="499"/>
    <n v="48316"/>
    <s v="Female"/>
    <n v="42"/>
    <s v="A2"/>
    <n v="96.825651302605209"/>
  </r>
  <r>
    <n v="30"/>
    <d v="2023-10-01T00:00:00"/>
    <s v="West"/>
    <s v="Emily Davis"/>
    <x v="0"/>
    <n v="290"/>
    <n v="15132"/>
    <s v="Unknown"/>
    <n v="25"/>
    <s v="A1"/>
    <n v="52.179310344827584"/>
  </r>
  <r>
    <n v="31"/>
    <d v="2024-09-08T00:00:00"/>
    <s v="North"/>
    <s v="Nancy Grey"/>
    <x v="3"/>
    <n v="369"/>
    <n v="5246"/>
    <s v="Male"/>
    <n v="42"/>
    <s v="A2"/>
    <n v="14.21680216802168"/>
  </r>
  <r>
    <n v="32"/>
    <d v="2024-03-20T00:00:00"/>
    <s v="East"/>
    <s v="Nancy Grey"/>
    <x v="0"/>
    <n v="389"/>
    <n v="37744"/>
    <s v="Male"/>
    <n v="42"/>
    <s v="A2"/>
    <n v="97.028277634961441"/>
  </r>
  <r>
    <n v="33"/>
    <d v="2024-05-10T00:00:00"/>
    <s v="East"/>
    <s v="Emily Davis"/>
    <x v="3"/>
    <n v="511"/>
    <n v="679"/>
    <s v="Female"/>
    <n v="25"/>
    <s v="A1"/>
    <n v="1.3287671232876712"/>
  </r>
  <r>
    <n v="34"/>
    <d v="2023-11-21T00:00:00"/>
    <s v="West"/>
    <s v="David White"/>
    <x v="2"/>
    <n v="333"/>
    <n v="48000"/>
    <s v="Female"/>
    <n v="28"/>
    <s v="A1"/>
    <n v="144.14414414414415"/>
  </r>
  <r>
    <n v="35"/>
    <d v="2023-10-15T00:00:00"/>
    <s v="West"/>
    <s v="Laura Black"/>
    <x v="2"/>
    <n v="260"/>
    <n v="34680"/>
    <s v="Male"/>
    <n v="52"/>
    <s v="A3"/>
    <n v="133.38461538461539"/>
  </r>
  <r>
    <n v="36"/>
    <d v="2023-10-31T00:00:00"/>
    <s v="West"/>
    <s v="Jane Smith"/>
    <x v="2"/>
    <n v="460"/>
    <n v="50274"/>
    <s v="Male"/>
    <n v="26"/>
    <s v="A1"/>
    <n v="109.29130434782608"/>
  </r>
  <r>
    <n v="37"/>
    <d v="2024-03-26T00:00:00"/>
    <s v="North"/>
    <s v="Chris Green"/>
    <x v="0"/>
    <n v="145"/>
    <n v="43615"/>
    <s v="Male"/>
    <n v="49"/>
    <s v="A3"/>
    <n v="300.79310344827587"/>
  </r>
  <r>
    <n v="38"/>
    <d v="2024-06-24T00:00:00"/>
    <s v="West"/>
    <s v="Nancy Grey"/>
    <x v="3"/>
    <n v="115"/>
    <n v="14076"/>
    <s v="Female"/>
    <n v="42"/>
    <s v="A2"/>
    <n v="122.4"/>
  </r>
  <r>
    <n v="39"/>
    <d v="2024-07-16T00:00:00"/>
    <s v="North"/>
    <s v="Sarah Lee"/>
    <x v="0"/>
    <n v="248"/>
    <n v="12870"/>
    <s v="Female"/>
    <n v="36"/>
    <s v="A2"/>
    <n v="51.895161290322584"/>
  </r>
  <r>
    <n v="40"/>
    <d v="2023-10-22T00:00:00"/>
    <s v="East"/>
    <s v="Laura Black"/>
    <x v="0"/>
    <n v="165"/>
    <n v="679"/>
    <s v="Male"/>
    <n v="52"/>
    <s v="A3"/>
    <n v="4.1151515151515152"/>
  </r>
  <r>
    <n v="41"/>
    <d v="2024-04-25T00:00:00"/>
    <s v="West"/>
    <s v="Nancy Grey"/>
    <x v="1"/>
    <n v="51"/>
    <n v="35280"/>
    <s v="Male"/>
    <n v="42"/>
    <s v="A2"/>
    <n v="691.76470588235293"/>
  </r>
  <r>
    <n v="42"/>
    <d v="2024-05-12T00:00:00"/>
    <s v="North"/>
    <s v="Nancy Grey"/>
    <x v="0"/>
    <n v="382"/>
    <n v="37490"/>
    <s v="Male"/>
    <n v="42"/>
    <s v="A2"/>
    <n v="98.141361256544499"/>
  </r>
  <r>
    <n v="43"/>
    <d v="2023-11-22T00:00:00"/>
    <s v="North"/>
    <s v="Nancy Grey"/>
    <x v="0"/>
    <n v="354"/>
    <n v="679"/>
    <s v="Male"/>
    <n v="42"/>
    <s v="A2"/>
    <n v="1.9180790960451977"/>
  </r>
  <r>
    <n v="44"/>
    <d v="2024-06-08T00:00:00"/>
    <s v="East"/>
    <s v="Laura Black"/>
    <x v="1"/>
    <n v="368"/>
    <n v="46068"/>
    <s v="Female"/>
    <n v="52"/>
    <s v="A3"/>
    <n v="125.18478260869566"/>
  </r>
  <r>
    <n v="45"/>
    <d v="2024-06-15T00:00:00"/>
    <s v="West"/>
    <s v="Sarah Lee"/>
    <x v="3"/>
    <n v="79"/>
    <n v="11078"/>
    <s v="Female"/>
    <n v="36"/>
    <s v="A2"/>
    <n v="140.22784810126583"/>
  </r>
  <r>
    <n v="46"/>
    <d v="2023-10-08T00:00:00"/>
    <s v="West"/>
    <s v="Andrew Blue"/>
    <x v="0"/>
    <n v="231"/>
    <n v="32045"/>
    <s v="Female"/>
    <n v="28"/>
    <s v="A1"/>
    <n v="138.72294372294371"/>
  </r>
  <r>
    <n v="47"/>
    <d v="2023-10-29T00:00:00"/>
    <s v="East"/>
    <s v="Mike Brown"/>
    <x v="0"/>
    <n v="288"/>
    <n v="33284"/>
    <s v="Female"/>
    <n v="57"/>
    <s v="A3"/>
    <n v="115.56944444444444"/>
  </r>
  <r>
    <n v="48"/>
    <d v="2023-09-22T00:00:00"/>
    <s v="North"/>
    <s v="Jane Smith"/>
    <x v="3"/>
    <n v="214"/>
    <n v="11954"/>
    <s v="Female"/>
    <n v="26"/>
    <s v="A1"/>
    <n v="55.859813084112147"/>
  </r>
  <r>
    <n v="49"/>
    <d v="2024-02-28T00:00:00"/>
    <s v="South"/>
    <s v="Jane Smith"/>
    <x v="2"/>
    <n v="74"/>
    <n v="36708"/>
    <s v="Male"/>
    <n v="26"/>
    <s v="A1"/>
    <n v="496.05405405405406"/>
  </r>
  <r>
    <n v="50"/>
    <d v="2023-11-04T00:00:00"/>
    <s v="North"/>
    <s v="John Doe"/>
    <x v="1"/>
    <n v="177"/>
    <n v="30600"/>
    <s v="Male"/>
    <n v="25"/>
    <s v="A1"/>
    <n v="172.88135593220338"/>
  </r>
  <r>
    <n v="51"/>
    <d v="2024-03-13T00:00:00"/>
    <s v="South"/>
    <s v="Mike Brown"/>
    <x v="2"/>
    <n v="358"/>
    <n v="13568"/>
    <s v="Female"/>
    <n v="57"/>
    <s v="A3"/>
    <n v="37.899441340782126"/>
  </r>
  <r>
    <n v="52"/>
    <d v="2024-02-28T00:00:00"/>
    <s v="South"/>
    <s v="Nancy Grey"/>
    <x v="2"/>
    <n v="343"/>
    <n v="33344"/>
    <s v="Male"/>
    <n v="42"/>
    <s v="A2"/>
    <n v="97.212827988338191"/>
  </r>
  <r>
    <n v="53"/>
    <d v="2023-10-17T00:00:00"/>
    <s v="East"/>
    <s v="Nancy Grey"/>
    <x v="2"/>
    <n v="63"/>
    <n v="3960"/>
    <s v="Male"/>
    <n v="42"/>
    <s v="A2"/>
    <n v="62.857142857142854"/>
  </r>
  <r>
    <n v="54"/>
    <d v="2024-08-06T00:00:00"/>
    <s v="West"/>
    <s v="David White"/>
    <x v="0"/>
    <n v="429"/>
    <n v="58208"/>
    <s v="Male"/>
    <n v="28"/>
    <s v="A1"/>
    <n v="135.68298368298369"/>
  </r>
  <r>
    <n v="55"/>
    <d v="2024-09-14T00:00:00"/>
    <s v="South"/>
    <s v="Nancy Grey"/>
    <x v="1"/>
    <n v="491"/>
    <n v="59458"/>
    <s v="Male"/>
    <n v="42"/>
    <s v="A2"/>
    <n v="121.09572301425662"/>
  </r>
  <r>
    <n v="56"/>
    <d v="2023-09-24T00:00:00"/>
    <s v="West"/>
    <s v="Nancy Grey"/>
    <x v="0"/>
    <n v="344"/>
    <n v="13872"/>
    <s v="Female"/>
    <n v="42"/>
    <s v="A2"/>
    <n v="40.325581395348834"/>
  </r>
  <r>
    <n v="57"/>
    <d v="2024-01-05T00:00:00"/>
    <s v="West"/>
    <s v="John Doe"/>
    <x v="1"/>
    <n v="255"/>
    <n v="57706"/>
    <s v="Female"/>
    <n v="25"/>
    <s v="A1"/>
    <n v="226.29803921568629"/>
  </r>
  <r>
    <n v="58"/>
    <d v="2024-01-01T00:00:00"/>
    <s v="South"/>
    <s v="Nancy Grey"/>
    <x v="0"/>
    <n v="160"/>
    <n v="59248"/>
    <s v="Female"/>
    <n v="42"/>
    <s v="A2"/>
    <n v="370.3"/>
  </r>
  <r>
    <n v="59"/>
    <d v="2024-06-10T00:00:00"/>
    <s v="North"/>
    <s v="John Doe"/>
    <x v="3"/>
    <n v="322"/>
    <n v="29440"/>
    <s v="Male"/>
    <n v="25"/>
    <s v="A1"/>
    <n v="91.428571428571431"/>
  </r>
  <r>
    <n v="60"/>
    <d v="2024-03-21T00:00:00"/>
    <s v="North"/>
    <s v="John Doe"/>
    <x v="2"/>
    <n v="178"/>
    <n v="679"/>
    <s v="Male"/>
    <n v="25"/>
    <s v="A1"/>
    <n v="3.8146067415730336"/>
  </r>
  <r>
    <n v="61"/>
    <d v="2023-12-26T00:00:00"/>
    <s v="West"/>
    <s v="Laura Black"/>
    <x v="0"/>
    <n v="151"/>
    <n v="8475"/>
    <s v="Female"/>
    <n v="52"/>
    <s v="A3"/>
    <n v="56.12582781456954"/>
  </r>
  <r>
    <n v="62"/>
    <d v="2024-02-28T00:00:00"/>
    <s v="West"/>
    <s v="Mike Brown"/>
    <x v="2"/>
    <n v="535"/>
    <n v="44330"/>
    <s v="Male"/>
    <n v="57"/>
    <s v="A3"/>
    <n v="82.859813084112147"/>
  </r>
  <r>
    <n v="63"/>
    <d v="2024-08-06T00:00:00"/>
    <s v="East"/>
    <s v="John Doe"/>
    <x v="0"/>
    <n v="305"/>
    <n v="3186"/>
    <s v="Female"/>
    <n v="25"/>
    <s v="A1"/>
    <n v="10.445901639344262"/>
  </r>
  <r>
    <n v="64"/>
    <d v="2024-05-20T00:00:00"/>
    <s v="West"/>
    <s v="John Doe"/>
    <x v="3"/>
    <n v="188"/>
    <n v="679"/>
    <s v="Female"/>
    <n v="25"/>
    <s v="A1"/>
    <n v="3.6117021276595747"/>
  </r>
  <r>
    <n v="65"/>
    <d v="2024-03-27T00:00:00"/>
    <s v="East"/>
    <s v="Nancy Grey"/>
    <x v="0"/>
    <n v="495"/>
    <n v="679"/>
    <s v="Male"/>
    <n v="42"/>
    <s v="A2"/>
    <n v="1.3717171717171717"/>
  </r>
  <r>
    <n v="66"/>
    <d v="2024-04-08T00:00:00"/>
    <s v="West"/>
    <s v="Andrew Blue"/>
    <x v="3"/>
    <n v="190"/>
    <n v="28050"/>
    <s v="Female"/>
    <n v="28"/>
    <s v="A1"/>
    <n v="147.63157894736841"/>
  </r>
  <r>
    <n v="67"/>
    <d v="2023-11-19T00:00:00"/>
    <s v="West"/>
    <s v="Jane Smith"/>
    <x v="0"/>
    <n v="511"/>
    <n v="16698"/>
    <s v="Unknown"/>
    <n v="26"/>
    <s v="A1"/>
    <n v="32.677103718199611"/>
  </r>
  <r>
    <n v="68"/>
    <d v="2024-02-28T00:00:00"/>
    <s v="South"/>
    <s v="Chris Green"/>
    <x v="0"/>
    <n v="308"/>
    <n v="27956"/>
    <s v="Unknown"/>
    <n v="49"/>
    <s v="A3"/>
    <n v="90.766233766233768"/>
  </r>
  <r>
    <n v="69"/>
    <d v="2024-08-28T00:00:00"/>
    <s v="East"/>
    <s v="Sarah Lee"/>
    <x v="1"/>
    <n v="183"/>
    <n v="679"/>
    <s v="Male"/>
    <n v="36"/>
    <s v="A2"/>
    <n v="3.7103825136612021"/>
  </r>
  <r>
    <n v="70"/>
    <d v="2023-11-02T00:00:00"/>
    <s v="North"/>
    <s v="Nancy Grey"/>
    <x v="1"/>
    <n v="335"/>
    <n v="36984"/>
    <s v="Female"/>
    <n v="42"/>
    <s v="A2"/>
    <n v="110.4"/>
  </r>
  <r>
    <n v="71"/>
    <d v="2024-02-28T00:00:00"/>
    <s v="North"/>
    <s v="Chris Green"/>
    <x v="1"/>
    <n v="95"/>
    <n v="46800"/>
    <s v="Male"/>
    <n v="49"/>
    <s v="A3"/>
    <n v="492.63157894736844"/>
  </r>
  <r>
    <n v="72"/>
    <d v="2024-03-05T00:00:00"/>
    <s v="North"/>
    <s v="Nancy Grey"/>
    <x v="1"/>
    <n v="218"/>
    <n v="7125"/>
    <s v="Male"/>
    <n v="42"/>
    <s v="A2"/>
    <n v="32.683486238532112"/>
  </r>
  <r>
    <n v="73"/>
    <d v="2024-08-02T00:00:00"/>
    <s v="West"/>
    <s v="Nancy Grey"/>
    <x v="2"/>
    <n v="265"/>
    <n v="12320"/>
    <s v="Female"/>
    <n v="42"/>
    <s v="A2"/>
    <n v="46.490566037735846"/>
  </r>
  <r>
    <n v="74"/>
    <d v="2023-09-28T00:00:00"/>
    <s v="West"/>
    <s v="Laura Black"/>
    <x v="3"/>
    <n v="213"/>
    <n v="42028"/>
    <s v="Female"/>
    <n v="52"/>
    <s v="A3"/>
    <n v="197.31455399061034"/>
  </r>
  <r>
    <n v="75"/>
    <d v="2024-03-06T00:00:00"/>
    <s v="West"/>
    <s v="David White"/>
    <x v="0"/>
    <n v="128"/>
    <n v="679"/>
    <s v="Male"/>
    <n v="28"/>
    <s v="A1"/>
    <n v="5.3046875"/>
  </r>
  <r>
    <n v="76"/>
    <d v="2023-10-18T00:00:00"/>
    <s v="North"/>
    <s v="John Doe"/>
    <x v="3"/>
    <n v="208"/>
    <n v="25758"/>
    <s v="Unknown"/>
    <n v="25"/>
    <s v="A1"/>
    <n v="123.83653846153847"/>
  </r>
  <r>
    <n v="77"/>
    <d v="2024-07-05T00:00:00"/>
    <s v="West"/>
    <s v="Nancy Grey"/>
    <x v="1"/>
    <n v="115"/>
    <n v="34804"/>
    <s v="Female"/>
    <n v="42"/>
    <s v="A2"/>
    <n v="302.64347826086959"/>
  </r>
  <r>
    <n v="78"/>
    <d v="2024-06-26T00:00:00"/>
    <s v="South"/>
    <s v="Jane Smith"/>
    <x v="0"/>
    <n v="465"/>
    <n v="679"/>
    <s v="Female"/>
    <n v="26"/>
    <s v="A1"/>
    <n v="1.4602150537634409"/>
  </r>
  <r>
    <n v="79"/>
    <d v="2024-09-09T00:00:00"/>
    <s v="East"/>
    <s v="Nancy Grey"/>
    <x v="2"/>
    <n v="519"/>
    <n v="45312"/>
    <s v="Male"/>
    <n v="42"/>
    <s v="A2"/>
    <n v="87.306358381502889"/>
  </r>
  <r>
    <n v="80"/>
    <d v="2024-02-28T00:00:00"/>
    <s v="South"/>
    <s v="Mike Brown"/>
    <x v="2"/>
    <n v="380"/>
    <n v="44525"/>
    <s v="Unknown"/>
    <n v="57"/>
    <s v="A3"/>
    <n v="117.17105263157895"/>
  </r>
  <r>
    <n v="81"/>
    <d v="2024-02-13T00:00:00"/>
    <s v="East"/>
    <s v="Nancy Grey"/>
    <x v="0"/>
    <n v="32"/>
    <n v="3132"/>
    <s v="Male"/>
    <n v="42"/>
    <s v="A2"/>
    <n v="97.875"/>
  </r>
  <r>
    <n v="82"/>
    <d v="2024-06-14T00:00:00"/>
    <s v="East"/>
    <s v="John Doe"/>
    <x v="1"/>
    <n v="130"/>
    <n v="16740"/>
    <s v="Female"/>
    <n v="25"/>
    <s v="A1"/>
    <n v="128.76923076923077"/>
  </r>
  <r>
    <n v="83"/>
    <d v="2023-11-24T00:00:00"/>
    <s v="West"/>
    <s v="Jane Smith"/>
    <x v="2"/>
    <n v="545"/>
    <n v="65250"/>
    <s v="Female"/>
    <n v="26"/>
    <s v="A1"/>
    <n v="119.72477064220183"/>
  </r>
  <r>
    <n v="84"/>
    <d v="2024-03-18T00:00:00"/>
    <s v="West"/>
    <s v="Andrew Blue"/>
    <x v="3"/>
    <n v="84"/>
    <n v="10688"/>
    <s v="Female"/>
    <n v="28"/>
    <s v="A1"/>
    <n v="127.23809523809524"/>
  </r>
  <r>
    <n v="85"/>
    <d v="2024-01-18T00:00:00"/>
    <s v="West"/>
    <s v="Nancy Grey"/>
    <x v="3"/>
    <n v="192"/>
    <n v="18648"/>
    <s v="Female"/>
    <n v="42"/>
    <s v="A2"/>
    <n v="97.125"/>
  </r>
  <r>
    <n v="86"/>
    <d v="2024-01-16T00:00:00"/>
    <s v="South"/>
    <s v="Andrew Blue"/>
    <x v="0"/>
    <n v="60"/>
    <n v="5822"/>
    <s v="Male"/>
    <n v="28"/>
    <s v="A1"/>
    <n v="97.033333333333331"/>
  </r>
  <r>
    <n v="87"/>
    <d v="2024-02-08T00:00:00"/>
    <s v="West"/>
    <s v="Nancy Grey"/>
    <x v="1"/>
    <n v="209"/>
    <n v="51221"/>
    <s v="Female"/>
    <n v="42"/>
    <s v="A2"/>
    <n v="245.07655502392345"/>
  </r>
  <r>
    <n v="88"/>
    <d v="2024-01-14T00:00:00"/>
    <s v="North"/>
    <s v="Andrew Blue"/>
    <x v="1"/>
    <n v="264"/>
    <n v="75332"/>
    <s v="Female"/>
    <n v="28"/>
    <s v="A1"/>
    <n v="285.34848484848487"/>
  </r>
  <r>
    <n v="89"/>
    <d v="2024-02-26T00:00:00"/>
    <s v="West"/>
    <s v="Jane Smith"/>
    <x v="3"/>
    <n v="97"/>
    <n v="679"/>
    <s v="Female"/>
    <n v="26"/>
    <s v="A1"/>
    <n v="7"/>
  </r>
  <r>
    <n v="90"/>
    <d v="2023-12-29T00:00:00"/>
    <s v="West"/>
    <s v="Jane Smith"/>
    <x v="1"/>
    <n v="404"/>
    <n v="13310"/>
    <s v="Female"/>
    <n v="26"/>
    <s v="A1"/>
    <n v="32.945544554455445"/>
  </r>
  <r>
    <n v="91"/>
    <d v="2024-06-01T00:00:00"/>
    <s v="North"/>
    <s v="Nancy Grey"/>
    <x v="2"/>
    <n v="386"/>
    <n v="47952"/>
    <s v="Male"/>
    <n v="42"/>
    <s v="A2"/>
    <n v="124.2279792746114"/>
  </r>
  <r>
    <n v="92"/>
    <d v="2024-02-07T00:00:00"/>
    <s v="South"/>
    <s v="John Doe"/>
    <x v="2"/>
    <n v="214"/>
    <n v="4984"/>
    <s v="Male"/>
    <n v="25"/>
    <s v="A1"/>
    <n v="23.289719626168225"/>
  </r>
  <r>
    <n v="93"/>
    <d v="2023-12-17T00:00:00"/>
    <s v="South"/>
    <s v="David White"/>
    <x v="0"/>
    <n v="366"/>
    <n v="4131"/>
    <s v="Male"/>
    <n v="28"/>
    <s v="A1"/>
    <n v="11.28688524590164"/>
  </r>
  <r>
    <n v="94"/>
    <d v="2024-05-15T00:00:00"/>
    <s v="North"/>
    <s v="Emily Davis"/>
    <x v="0"/>
    <n v="173"/>
    <n v="24549"/>
    <s v="Male"/>
    <n v="25"/>
    <s v="A1"/>
    <n v="141.90173410404626"/>
  </r>
  <r>
    <n v="95"/>
    <d v="2024-08-17T00:00:00"/>
    <s v="North"/>
    <s v="Nancy Grey"/>
    <x v="1"/>
    <n v="306"/>
    <n v="679"/>
    <s v="Female"/>
    <n v="42"/>
    <s v="A2"/>
    <n v="2.2189542483660132"/>
  </r>
  <r>
    <n v="96"/>
    <d v="2024-02-25T00:00:00"/>
    <s v="North"/>
    <s v="Andrew Blue"/>
    <x v="0"/>
    <n v="128"/>
    <n v="35088"/>
    <s v="Male"/>
    <n v="28"/>
    <s v="A1"/>
    <n v="274.125"/>
  </r>
  <r>
    <n v="97"/>
    <d v="2024-01-02T00:00:00"/>
    <s v="West"/>
    <s v="John Doe"/>
    <x v="3"/>
    <n v="368"/>
    <n v="25254"/>
    <s v="Female"/>
    <n v="25"/>
    <s v="A1"/>
    <n v="68.625"/>
  </r>
  <r>
    <n v="98"/>
    <d v="2023-12-22T00:00:00"/>
    <s v="West"/>
    <s v="Mike Brown"/>
    <x v="2"/>
    <n v="222"/>
    <n v="17500"/>
    <s v="Male"/>
    <n v="57"/>
    <s v="A3"/>
    <n v="78.828828828828833"/>
  </r>
  <r>
    <n v="99"/>
    <d v="2024-06-21T00:00:00"/>
    <s v="West"/>
    <s v="Nancy Grey"/>
    <x v="3"/>
    <n v="216"/>
    <n v="36934"/>
    <s v="Female"/>
    <n v="42"/>
    <s v="A2"/>
    <n v="170.99074074074073"/>
  </r>
  <r>
    <n v="100"/>
    <d v="2023-12-26T00:00:00"/>
    <s v="West"/>
    <s v="Laura Black"/>
    <x v="3"/>
    <n v="307"/>
    <n v="679"/>
    <s v="Female"/>
    <n v="52"/>
    <s v="A3"/>
    <n v="2.2117263843648209"/>
  </r>
  <r>
    <n v="101"/>
    <d v="2023-10-16T00:00:00"/>
    <s v="South"/>
    <s v="John Doe"/>
    <x v="1"/>
    <n v="384"/>
    <n v="40565"/>
    <s v="Female"/>
    <n v="25"/>
    <s v="A1"/>
    <n v="105.63802083333333"/>
  </r>
  <r>
    <n v="102"/>
    <d v="2024-07-24T00:00:00"/>
    <s v="East"/>
    <s v="Jane Smith"/>
    <x v="0"/>
    <n v="376"/>
    <n v="679"/>
    <s v="Female"/>
    <n v="26"/>
    <s v="A1"/>
    <n v="1.8058510638297873"/>
  </r>
  <r>
    <n v="103"/>
    <d v="2023-12-14T00:00:00"/>
    <s v="East"/>
    <s v="Mike Brown"/>
    <x v="0"/>
    <n v="97"/>
    <n v="679"/>
    <s v="Female"/>
    <n v="57"/>
    <s v="A3"/>
    <n v="7"/>
  </r>
  <r>
    <n v="104"/>
    <d v="2023-11-13T00:00:00"/>
    <s v="West"/>
    <s v="Nancy Grey"/>
    <x v="2"/>
    <n v="359"/>
    <n v="12753"/>
    <s v="Male"/>
    <n v="42"/>
    <s v="A2"/>
    <n v="35.523676880222844"/>
  </r>
  <r>
    <n v="105"/>
    <d v="2024-02-28T00:00:00"/>
    <s v="North"/>
    <s v="Nancy Grey"/>
    <x v="2"/>
    <n v="318"/>
    <n v="16864"/>
    <s v="Male"/>
    <n v="42"/>
    <s v="A2"/>
    <n v="53.031446540880502"/>
  </r>
  <r>
    <n v="106"/>
    <d v="2024-04-10T00:00:00"/>
    <s v="South"/>
    <s v="Nancy Grey"/>
    <x v="0"/>
    <n v="51"/>
    <n v="56888"/>
    <s v="Female"/>
    <n v="42"/>
    <s v="A2"/>
    <n v="1115.4509803921569"/>
  </r>
  <r>
    <n v="107"/>
    <d v="2024-04-30T00:00:00"/>
    <s v="East"/>
    <s v="Andrew Blue"/>
    <x v="2"/>
    <n v="236"/>
    <n v="679"/>
    <s v="Unknown"/>
    <n v="28"/>
    <s v="A1"/>
    <n v="2.8771186440677967"/>
  </r>
  <r>
    <n v="108"/>
    <d v="2023-12-04T00:00:00"/>
    <s v="West"/>
    <s v="Nancy Grey"/>
    <x v="0"/>
    <n v="214"/>
    <n v="31122"/>
    <s v="Male"/>
    <n v="42"/>
    <s v="A2"/>
    <n v="145.42990654205607"/>
  </r>
  <r>
    <n v="109"/>
    <d v="2023-11-26T00:00:00"/>
    <s v="East"/>
    <s v="David White"/>
    <x v="0"/>
    <n v="86"/>
    <n v="25853"/>
    <s v="Female"/>
    <n v="28"/>
    <s v="A1"/>
    <n v="300.61627906976742"/>
  </r>
  <r>
    <n v="110"/>
    <d v="2024-04-01T00:00:00"/>
    <s v="West"/>
    <s v="Laura Black"/>
    <x v="2"/>
    <n v="155"/>
    <n v="11092"/>
    <s v="Female"/>
    <n v="52"/>
    <s v="A3"/>
    <n v="71.561290322580646"/>
  </r>
  <r>
    <n v="111"/>
    <d v="2024-07-24T00:00:00"/>
    <s v="North"/>
    <s v="Jane Smith"/>
    <x v="3"/>
    <n v="319"/>
    <n v="4221"/>
    <s v="Male"/>
    <n v="26"/>
    <s v="A1"/>
    <n v="13.231974921630094"/>
  </r>
  <r>
    <n v="112"/>
    <d v="2024-08-23T00:00:00"/>
    <s v="East"/>
    <s v="Emily Davis"/>
    <x v="0"/>
    <n v="62"/>
    <n v="31500"/>
    <s v="Male"/>
    <n v="25"/>
    <s v="A1"/>
    <n v="508.06451612903226"/>
  </r>
  <r>
    <n v="113"/>
    <d v="2024-03-19T00:00:00"/>
    <s v="East"/>
    <s v="Jane Smith"/>
    <x v="0"/>
    <n v="81"/>
    <n v="31414"/>
    <s v="Female"/>
    <n v="26"/>
    <s v="A1"/>
    <n v="387.82716049382714"/>
  </r>
  <r>
    <n v="114"/>
    <d v="2023-11-03T00:00:00"/>
    <s v="North"/>
    <s v="Mike Brown"/>
    <x v="0"/>
    <n v="126"/>
    <n v="40446"/>
    <s v="Unknown"/>
    <n v="57"/>
    <s v="A3"/>
    <n v="321"/>
  </r>
  <r>
    <n v="115"/>
    <d v="2023-11-02T00:00:00"/>
    <s v="West"/>
    <s v="Jane Smith"/>
    <x v="0"/>
    <n v="541"/>
    <n v="42432"/>
    <s v="Female"/>
    <n v="26"/>
    <s v="A1"/>
    <n v="78.432532347504619"/>
  </r>
  <r>
    <n v="116"/>
    <d v="2023-11-10T00:00:00"/>
    <s v="North"/>
    <s v="Andrew Blue"/>
    <x v="1"/>
    <n v="666"/>
    <n v="64635"/>
    <s v="Male"/>
    <n v="28"/>
    <s v="A1"/>
    <n v="97.049549549549553"/>
  </r>
  <r>
    <n v="117"/>
    <d v="2024-03-23T00:00:00"/>
    <s v="North"/>
    <s v="Jane Smith"/>
    <x v="3"/>
    <n v="527"/>
    <n v="51168"/>
    <s v="Male"/>
    <n v="26"/>
    <s v="A1"/>
    <n v="97.092979127134726"/>
  </r>
  <r>
    <n v="118"/>
    <d v="2023-12-13T00:00:00"/>
    <s v="West"/>
    <s v="Nancy Grey"/>
    <x v="0"/>
    <n v="289"/>
    <n v="24948"/>
    <s v="Male"/>
    <n v="42"/>
    <s v="A2"/>
    <n v="86.325259515570934"/>
  </r>
  <r>
    <n v="119"/>
    <d v="2024-01-14T00:00:00"/>
    <s v="West"/>
    <s v="Mike Brown"/>
    <x v="3"/>
    <n v="199"/>
    <n v="56118"/>
    <s v="Unknown"/>
    <n v="57"/>
    <s v="A3"/>
    <n v="282"/>
  </r>
  <r>
    <n v="120"/>
    <d v="2024-03-10T00:00:00"/>
    <s v="East"/>
    <s v="Sarah Lee"/>
    <x v="0"/>
    <n v="497"/>
    <n v="46548"/>
    <s v="Female"/>
    <n v="36"/>
    <s v="A2"/>
    <n v="93.6579476861167"/>
  </r>
  <r>
    <m/>
    <m/>
    <m/>
    <m/>
    <x v="4"/>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3DB273-C673-4C2A-A762-B44AAE97E2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1">
    <pivotField showAll="0"/>
    <pivotField showAll="0"/>
    <pivotField showAll="0"/>
    <pivotField showAll="0"/>
    <pivotField axis="axisRow" showAll="0">
      <items count="6">
        <item x="0"/>
        <item x="3"/>
        <item x="1"/>
        <item x="2"/>
        <item h="1" x="4"/>
        <item t="default"/>
      </items>
    </pivotField>
    <pivotField showAll="0"/>
    <pivotField dataField="1" showAll="0"/>
    <pivotField showAll="0"/>
    <pivotField showAll="0"/>
    <pivotField showAll="0"/>
    <pivotField showAll="0"/>
  </pivotFields>
  <rowFields count="1">
    <field x="4"/>
  </rowFields>
  <rowItems count="5">
    <i>
      <x/>
    </i>
    <i>
      <x v="1"/>
    </i>
    <i>
      <x v="2"/>
    </i>
    <i>
      <x v="3"/>
    </i>
    <i t="grand">
      <x/>
    </i>
  </rowItems>
  <colItems count="1">
    <i/>
  </colItems>
  <dataFields count="1">
    <dataField name="Sum of TotalCost" fld="6" baseField="0" baseItem="0" numFmtId="164"/>
  </dataFields>
  <formats count="1">
    <format dxfId="19">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2BC6BC-6A9B-4814-B6F2-E806A62EC7F8}"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C7B3D1-B958-486A-BB47-F16849B7A383}"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3">
    <chartFormat chart="1"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DFD889-95B0-4F4D-9CF3-CA3F1FA888E5}"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69"/>
  </dataFields>
  <formats count="1">
    <format dxfId="18">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5EB69F-C55F-4BBB-866D-B1D3803D9CED}" sourceName="Region">
  <pivotTables>
    <pivotTable tabId="5" name="PivotTable2"/>
    <pivotTable tabId="6" name="PivotTable1"/>
    <pivotTable tabId="7" name="PivotTable1"/>
  </pivotTables>
  <data>
    <tabular pivotCacheId="2010456957">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5B876DF-113B-437A-BE5A-5FE498C46780}" sourceName="Gender">
  <pivotTables>
    <pivotTable tabId="5" name="PivotTable2"/>
    <pivotTable tabId="6" name="PivotTable1"/>
    <pivotTable tabId="7" name="PivotTable1"/>
  </pivotTables>
  <data>
    <tabular pivotCacheId="201045695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B9419797-E0EA-4198-8051-79766C24A8AE}" sourceName="Age Groups">
  <pivotTables>
    <pivotTable tabId="5" name="PivotTable2"/>
    <pivotTable tabId="6" name="PivotTable1"/>
    <pivotTable tabId="7" name="PivotTable1"/>
  </pivotTables>
  <data>
    <tabular pivotCacheId="201045695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CC26039F-FF79-4704-9E2B-89CF7FC00848}" sourceName="Quarters (ProductionDate)">
  <pivotTables>
    <pivotTable tabId="5" name="PivotTable2"/>
    <pivotTable tabId="6" name="PivotTable1"/>
    <pivotTable tabId="7" name="PivotTable1"/>
  </pivotTables>
  <data>
    <tabular pivotCacheId="201045695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E4B3FE7-2245-453E-A997-71583800F607}" cache="Slicer_Region" caption="Region" rowHeight="234950"/>
  <slicer name="Gender" xr10:uid="{BEC2BC9B-1F48-4709-8B8F-8D65B7020A81}" cache="Slicer_Gender" caption="Gender" rowHeight="234950"/>
  <slicer name="Age Groups" xr10:uid="{8A63C1E2-170E-489A-91DA-1C21987F3E06}" cache="Slicer_Age_Groups" caption="Age Groups" rowHeight="234950"/>
  <slicer name="Quarters (ProductionDate)" xr10:uid="{64A7E625-CDE9-4A1A-81FF-05FB9E25D728}"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AE8A9-F292-4B90-8623-AEA4260DC408}">
  <dimension ref="A3:B8"/>
  <sheetViews>
    <sheetView workbookViewId="0">
      <selection activeCell="P8" sqref="P8"/>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10</v>
      </c>
      <c r="B4" s="5">
        <v>1152805</v>
      </c>
    </row>
    <row r="5" spans="1:2" x14ac:dyDescent="0.3">
      <c r="A5" s="4" t="s">
        <v>23</v>
      </c>
      <c r="B5" s="5">
        <v>604575</v>
      </c>
    </row>
    <row r="6" spans="1:2" x14ac:dyDescent="0.3">
      <c r="A6" s="4" t="s">
        <v>14</v>
      </c>
      <c r="B6" s="5">
        <v>703282</v>
      </c>
    </row>
    <row r="7" spans="1:2" x14ac:dyDescent="0.3">
      <c r="A7" s="4" t="s">
        <v>17</v>
      </c>
      <c r="B7" s="5">
        <v>910416</v>
      </c>
    </row>
    <row r="8" spans="1:2" x14ac:dyDescent="0.3">
      <c r="A8" s="4" t="s">
        <v>33</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A4050-62A6-43A2-9056-44329ECD6D3C}">
  <dimension ref="A3:B14"/>
  <sheetViews>
    <sheetView workbookViewId="0">
      <selection activeCell="P8" sqref="P8"/>
    </sheetView>
  </sheetViews>
  <sheetFormatPr defaultRowHeight="14.4" x14ac:dyDescent="0.3"/>
  <cols>
    <col min="1" max="1" width="12.5546875" bestFit="1" customWidth="1"/>
    <col min="2" max="2" width="15.21875" bestFit="1" customWidth="1"/>
  </cols>
  <sheetData>
    <row r="3" spans="1:2" x14ac:dyDescent="0.3">
      <c r="A3" s="3" t="s">
        <v>32</v>
      </c>
      <c r="B3" t="s">
        <v>35</v>
      </c>
    </row>
    <row r="4" spans="1:2" x14ac:dyDescent="0.3">
      <c r="A4" s="4" t="s">
        <v>24</v>
      </c>
      <c r="B4" s="8">
        <v>37</v>
      </c>
    </row>
    <row r="5" spans="1:2" x14ac:dyDescent="0.3">
      <c r="A5" s="4" t="s">
        <v>20</v>
      </c>
      <c r="B5" s="8">
        <v>18</v>
      </c>
    </row>
    <row r="6" spans="1:2" x14ac:dyDescent="0.3">
      <c r="A6" s="4" t="s">
        <v>9</v>
      </c>
      <c r="B6" s="8">
        <v>13</v>
      </c>
    </row>
    <row r="7" spans="1:2" x14ac:dyDescent="0.3">
      <c r="A7" s="4" t="s">
        <v>19</v>
      </c>
      <c r="B7" s="8">
        <v>11</v>
      </c>
    </row>
    <row r="8" spans="1:2" x14ac:dyDescent="0.3">
      <c r="A8" s="4" t="s">
        <v>21</v>
      </c>
      <c r="B8" s="8">
        <v>10</v>
      </c>
    </row>
    <row r="9" spans="1:2" x14ac:dyDescent="0.3">
      <c r="A9" s="4" t="s">
        <v>13</v>
      </c>
      <c r="B9" s="8">
        <v>8</v>
      </c>
    </row>
    <row r="10" spans="1:2" x14ac:dyDescent="0.3">
      <c r="A10" s="4" t="s">
        <v>25</v>
      </c>
      <c r="B10" s="8">
        <v>6</v>
      </c>
    </row>
    <row r="11" spans="1:2" x14ac:dyDescent="0.3">
      <c r="A11" s="4" t="s">
        <v>26</v>
      </c>
      <c r="B11" s="8">
        <v>6</v>
      </c>
    </row>
    <row r="12" spans="1:2" x14ac:dyDescent="0.3">
      <c r="A12" s="4" t="s">
        <v>22</v>
      </c>
      <c r="B12" s="8">
        <v>6</v>
      </c>
    </row>
    <row r="13" spans="1:2" x14ac:dyDescent="0.3">
      <c r="A13" s="4" t="s">
        <v>16</v>
      </c>
      <c r="B13" s="8">
        <v>5</v>
      </c>
    </row>
    <row r="14" spans="1:2" x14ac:dyDescent="0.3">
      <c r="A14" s="4" t="s">
        <v>33</v>
      </c>
      <c r="B14" s="8">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FCF4C-C69C-4E9F-92AC-69D9C38C8127}">
  <dimension ref="A3:B19"/>
  <sheetViews>
    <sheetView workbookViewId="0">
      <selection activeCell="K22" sqref="K22"/>
    </sheetView>
  </sheetViews>
  <sheetFormatPr defaultRowHeight="14.4" x14ac:dyDescent="0.3"/>
  <cols>
    <col min="1" max="1" width="12.5546875" bestFit="1" customWidth="1"/>
    <col min="2" max="2" width="20.109375" bestFit="1" customWidth="1"/>
  </cols>
  <sheetData>
    <row r="3" spans="1:2" x14ac:dyDescent="0.3">
      <c r="A3" s="3" t="s">
        <v>32</v>
      </c>
      <c r="B3" t="s">
        <v>38</v>
      </c>
    </row>
    <row r="4" spans="1:2" x14ac:dyDescent="0.3">
      <c r="A4" s="4" t="s">
        <v>36</v>
      </c>
      <c r="B4" s="8">
        <v>11171</v>
      </c>
    </row>
    <row r="5" spans="1:2" x14ac:dyDescent="0.3">
      <c r="A5" s="6" t="s">
        <v>39</v>
      </c>
      <c r="B5" s="8">
        <v>771</v>
      </c>
    </row>
    <row r="6" spans="1:2" x14ac:dyDescent="0.3">
      <c r="A6" s="6" t="s">
        <v>40</v>
      </c>
      <c r="B6" s="8">
        <v>3103</v>
      </c>
    </row>
    <row r="7" spans="1:2" x14ac:dyDescent="0.3">
      <c r="A7" s="6" t="s">
        <v>41</v>
      </c>
      <c r="B7" s="8">
        <v>4803</v>
      </c>
    </row>
    <row r="8" spans="1:2" x14ac:dyDescent="0.3">
      <c r="A8" s="6" t="s">
        <v>42</v>
      </c>
      <c r="B8" s="8">
        <v>2494</v>
      </c>
    </row>
    <row r="9" spans="1:2" x14ac:dyDescent="0.3">
      <c r="A9" s="4" t="s">
        <v>37</v>
      </c>
      <c r="B9" s="8">
        <v>23556</v>
      </c>
    </row>
    <row r="10" spans="1:2" x14ac:dyDescent="0.3">
      <c r="A10" s="6" t="s">
        <v>43</v>
      </c>
      <c r="B10" s="8">
        <v>3026</v>
      </c>
    </row>
    <row r="11" spans="1:2" x14ac:dyDescent="0.3">
      <c r="A11" s="6" t="s">
        <v>44</v>
      </c>
      <c r="B11" s="8">
        <v>4127</v>
      </c>
    </row>
    <row r="12" spans="1:2" x14ac:dyDescent="0.3">
      <c r="A12" s="6" t="s">
        <v>45</v>
      </c>
      <c r="B12" s="8">
        <v>3875</v>
      </c>
    </row>
    <row r="13" spans="1:2" x14ac:dyDescent="0.3">
      <c r="A13" s="6" t="s">
        <v>46</v>
      </c>
      <c r="B13" s="8">
        <v>1528</v>
      </c>
    </row>
    <row r="14" spans="1:2" x14ac:dyDescent="0.3">
      <c r="A14" s="6" t="s">
        <v>47</v>
      </c>
      <c r="B14" s="8">
        <v>1684</v>
      </c>
    </row>
    <row r="15" spans="1:2" x14ac:dyDescent="0.3">
      <c r="A15" s="6" t="s">
        <v>48</v>
      </c>
      <c r="B15" s="8">
        <v>3537</v>
      </c>
    </row>
    <row r="16" spans="1:2" x14ac:dyDescent="0.3">
      <c r="A16" s="6" t="s">
        <v>49</v>
      </c>
      <c r="B16" s="8">
        <v>1536</v>
      </c>
    </row>
    <row r="17" spans="1:2" x14ac:dyDescent="0.3">
      <c r="A17" s="6" t="s">
        <v>50</v>
      </c>
      <c r="B17" s="8">
        <v>2864</v>
      </c>
    </row>
    <row r="18" spans="1:2" x14ac:dyDescent="0.3">
      <c r="A18" s="6" t="s">
        <v>39</v>
      </c>
      <c r="B18" s="8">
        <v>1379</v>
      </c>
    </row>
    <row r="19" spans="1:2" x14ac:dyDescent="0.3">
      <c r="A19" s="4" t="s">
        <v>33</v>
      </c>
      <c r="B19" s="8">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BCF1-8303-4E24-987E-0C1A54B6B90B}">
  <dimension ref="A3:B8"/>
  <sheetViews>
    <sheetView workbookViewId="0">
      <selection activeCell="O7" sqref="O7"/>
    </sheetView>
  </sheetViews>
  <sheetFormatPr defaultRowHeight="14.4" x14ac:dyDescent="0.3"/>
  <cols>
    <col min="1" max="1" width="12.5546875" bestFit="1" customWidth="1"/>
    <col min="2" max="2" width="31.77734375" bestFit="1" customWidth="1"/>
  </cols>
  <sheetData>
    <row r="3" spans="1:2" x14ac:dyDescent="0.3">
      <c r="A3" s="3" t="s">
        <v>32</v>
      </c>
      <c r="B3" t="s">
        <v>51</v>
      </c>
    </row>
    <row r="4" spans="1:2" x14ac:dyDescent="0.3">
      <c r="A4" s="4" t="s">
        <v>10</v>
      </c>
      <c r="B4" s="7">
        <v>140.87387695413258</v>
      </c>
    </row>
    <row r="5" spans="1:2" x14ac:dyDescent="0.3">
      <c r="A5" s="4" t="s">
        <v>23</v>
      </c>
      <c r="B5" s="7">
        <v>108.368246516667</v>
      </c>
    </row>
    <row r="6" spans="1:2" x14ac:dyDescent="0.3">
      <c r="A6" s="4" t="s">
        <v>14</v>
      </c>
      <c r="B6" s="7">
        <v>180.4410334877862</v>
      </c>
    </row>
    <row r="7" spans="1:2" x14ac:dyDescent="0.3">
      <c r="A7" s="4" t="s">
        <v>17</v>
      </c>
      <c r="B7" s="7">
        <v>108.97659894637712</v>
      </c>
    </row>
    <row r="8" spans="1:2" x14ac:dyDescent="0.3">
      <c r="A8" s="4" t="s">
        <v>33</v>
      </c>
      <c r="B8" s="7">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0E8FC-9EF7-420A-B9C6-82C8E665DE1C}">
  <dimension ref="A1:X5"/>
  <sheetViews>
    <sheetView showGridLines="0" tabSelected="1" topLeftCell="A25" zoomScale="70" zoomScaleNormal="70" workbookViewId="0">
      <selection activeCell="W13" sqref="W13"/>
    </sheetView>
  </sheetViews>
  <sheetFormatPr defaultRowHeight="14.4" x14ac:dyDescent="0.3"/>
  <sheetData>
    <row r="1" spans="1:24" x14ac:dyDescent="0.3">
      <c r="A1" s="10" t="s">
        <v>52</v>
      </c>
      <c r="B1" s="9"/>
      <c r="C1" s="9"/>
      <c r="D1" s="9"/>
      <c r="E1" s="9"/>
      <c r="F1" s="9"/>
      <c r="G1" s="9"/>
      <c r="H1" s="9"/>
      <c r="I1" s="9"/>
      <c r="J1" s="9"/>
      <c r="K1" s="9"/>
      <c r="L1" s="9"/>
      <c r="M1" s="9"/>
      <c r="N1" s="9"/>
      <c r="O1" s="9"/>
      <c r="P1" s="9"/>
      <c r="Q1" s="9"/>
      <c r="R1" s="9"/>
      <c r="S1" s="9"/>
      <c r="T1" s="9"/>
      <c r="U1" s="9"/>
      <c r="V1" s="9"/>
      <c r="W1" s="9"/>
      <c r="X1" s="9"/>
    </row>
    <row r="2" spans="1:24" x14ac:dyDescent="0.3">
      <c r="A2" s="9"/>
      <c r="B2" s="9"/>
      <c r="C2" s="9"/>
      <c r="D2" s="9"/>
      <c r="E2" s="9"/>
      <c r="F2" s="9"/>
      <c r="G2" s="9"/>
      <c r="H2" s="9"/>
      <c r="I2" s="9"/>
      <c r="J2" s="9"/>
      <c r="K2" s="9"/>
      <c r="L2" s="9"/>
      <c r="M2" s="9"/>
      <c r="N2" s="9"/>
      <c r="O2" s="9"/>
      <c r="P2" s="9"/>
      <c r="Q2" s="9"/>
      <c r="R2" s="9"/>
      <c r="S2" s="9"/>
      <c r="T2" s="9"/>
      <c r="U2" s="9"/>
      <c r="V2" s="9"/>
      <c r="W2" s="9"/>
      <c r="X2" s="9"/>
    </row>
    <row r="3" spans="1:24" x14ac:dyDescent="0.3">
      <c r="A3" s="9"/>
      <c r="B3" s="9"/>
      <c r="C3" s="9"/>
      <c r="D3" s="9"/>
      <c r="E3" s="9"/>
      <c r="F3" s="9"/>
      <c r="G3" s="9"/>
      <c r="H3" s="9"/>
      <c r="I3" s="9"/>
      <c r="J3" s="9"/>
      <c r="K3" s="9"/>
      <c r="L3" s="9"/>
      <c r="M3" s="9"/>
      <c r="N3" s="9"/>
      <c r="O3" s="9"/>
      <c r="P3" s="9"/>
      <c r="Q3" s="9"/>
      <c r="R3" s="9"/>
      <c r="S3" s="9"/>
      <c r="T3" s="9"/>
      <c r="U3" s="9"/>
      <c r="V3" s="9"/>
      <c r="W3" s="9"/>
      <c r="X3" s="9"/>
    </row>
    <row r="4" spans="1:24" x14ac:dyDescent="0.3">
      <c r="A4" s="9"/>
      <c r="B4" s="9"/>
      <c r="C4" s="9"/>
      <c r="D4" s="9"/>
      <c r="E4" s="9"/>
      <c r="F4" s="9"/>
      <c r="G4" s="9"/>
      <c r="H4" s="9"/>
      <c r="I4" s="9"/>
      <c r="J4" s="9"/>
      <c r="K4" s="9"/>
      <c r="L4" s="9"/>
      <c r="M4" s="9"/>
      <c r="N4" s="9"/>
      <c r="O4" s="9"/>
      <c r="P4" s="9"/>
      <c r="Q4" s="9"/>
      <c r="R4" s="9"/>
      <c r="S4" s="9"/>
      <c r="T4" s="9"/>
      <c r="U4" s="9"/>
      <c r="V4" s="9"/>
      <c r="W4" s="9"/>
      <c r="X4" s="9"/>
    </row>
    <row r="5" spans="1:24" s="11" customFormat="1" x14ac:dyDescent="0.3">
      <c r="A5" s="9"/>
      <c r="B5" s="9"/>
      <c r="C5" s="9"/>
      <c r="D5" s="9"/>
      <c r="E5" s="9"/>
      <c r="F5" s="9"/>
      <c r="G5" s="9"/>
      <c r="H5" s="9"/>
      <c r="I5" s="9"/>
      <c r="J5" s="9"/>
      <c r="K5" s="9"/>
      <c r="L5" s="9"/>
      <c r="M5" s="9"/>
      <c r="N5" s="9"/>
      <c r="O5" s="9"/>
      <c r="P5" s="9"/>
      <c r="Q5" s="9"/>
      <c r="R5" s="9"/>
      <c r="S5" s="9"/>
      <c r="T5" s="9"/>
      <c r="U5" s="9"/>
      <c r="V5" s="9"/>
      <c r="W5" s="9"/>
      <c r="X5" s="9"/>
    </row>
  </sheetData>
  <mergeCells count="1">
    <mergeCell ref="A1:X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Normal="100" workbookViewId="0">
      <selection activeCell="C1" sqref="C1"/>
    </sheetView>
  </sheetViews>
  <sheetFormatPr defaultRowHeight="14.4" x14ac:dyDescent="0.3"/>
  <cols>
    <col min="1" max="1" width="15.6640625" customWidth="1"/>
    <col min="2" max="2" width="18.88671875" customWidth="1"/>
    <col min="3" max="3" width="14.109375" customWidth="1"/>
    <col min="4" max="4" width="16.5546875" customWidth="1"/>
    <col min="5" max="5" width="16.33203125" customWidth="1"/>
    <col min="6" max="6" width="16.5546875" customWidth="1"/>
    <col min="7" max="7" width="16" customWidth="1"/>
    <col min="8" max="8" width="19" customWidth="1"/>
    <col min="9" max="9" width="15" bestFit="1" customWidth="1"/>
    <col min="10" max="10" width="13.6640625" customWidth="1"/>
    <col min="11" max="11" width="21.33203125" bestFit="1"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 t="shared" ref="J2:J33" si="0">IF(I2&lt;=35, "A1",IF(I2&lt;=45,"A2","A3"))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 "A1",IF(I34&lt;=45,"A2","A3"))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 "A1",IF(I66&lt;=45,"A2","A3"))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 "A1",IF(I98&lt;=45,"A2","A3"))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sortState xmlns:xlrd2="http://schemas.microsoft.com/office/spreadsheetml/2017/richdata2" ref="A2:H121">
    <sortCondition ref="A1:A1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Reet Karmakar</cp:lastModifiedBy>
  <dcterms:created xsi:type="dcterms:W3CDTF">2015-06-05T18:17:20Z</dcterms:created>
  <dcterms:modified xsi:type="dcterms:W3CDTF">2025-12-15T10:06:05Z</dcterms:modified>
</cp:coreProperties>
</file>